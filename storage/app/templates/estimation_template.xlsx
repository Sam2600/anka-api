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ragon\www\anka-api\storage\app\public\"/>
    </mc:Choice>
  </mc:AlternateContent>
  <bookViews>
    <workbookView xWindow="0" yWindow="0" windowWidth="19200" windowHeight="6930" activeTab="2"/>
  </bookViews>
  <sheets>
    <sheet name="全体工数(Overall Estimate)" sheetId="12" r:id="rId1"/>
    <sheet name="Web_Function List" sheetId="2" r:id="rId2"/>
    <sheet name="Web_Manhour_Detail" sheetId="8" r:id="rId3"/>
    <sheet name="Milestone" sheetId="10" r:id="rId4"/>
    <sheet name="人の山積(Team Structure)" sheetId="11" r:id="rId5"/>
  </sheets>
  <definedNames>
    <definedName name="_xlnm._FilterDatabase" localSheetId="1" hidden="1">'Web_Function List'!$C$1:$C$21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8" l="1"/>
  <c r="I5" i="8" s="1"/>
  <c r="F5" i="8"/>
  <c r="G5" i="8" s="1"/>
  <c r="F6" i="8"/>
  <c r="G6" i="8" s="1"/>
  <c r="F7" i="8"/>
  <c r="G7" i="8" s="1"/>
  <c r="F8" i="8"/>
  <c r="G8" i="8"/>
  <c r="F9" i="8"/>
  <c r="G9" i="8" s="1"/>
  <c r="F10" i="8"/>
  <c r="G10" i="8" s="1"/>
  <c r="F11" i="8"/>
  <c r="G11" i="8" s="1"/>
  <c r="F12" i="8"/>
  <c r="G12" i="8"/>
  <c r="F13" i="8" l="1"/>
  <c r="F14" i="8" s="1"/>
  <c r="F15" i="8" s="1"/>
  <c r="F16" i="8"/>
  <c r="F17" i="8" s="1"/>
  <c r="F18" i="8" s="1"/>
  <c r="G13" i="8"/>
  <c r="G16" i="8" s="1"/>
  <c r="G17" i="8" s="1"/>
  <c r="G18" i="8" s="1"/>
  <c r="E12" i="11"/>
  <c r="D12" i="11"/>
  <c r="C5" i="12"/>
  <c r="G14" i="8" l="1"/>
  <c r="G15" i="8" s="1"/>
  <c r="H11" i="11"/>
  <c r="D13" i="8"/>
  <c r="H6" i="11" l="1"/>
  <c r="H10" i="11" l="1"/>
  <c r="G12" i="11" l="1"/>
  <c r="F12" i="11"/>
  <c r="H9" i="11"/>
  <c r="H8" i="11"/>
  <c r="H7" i="11"/>
  <c r="H12" i="11" l="1"/>
  <c r="D16" i="8" l="1"/>
  <c r="D17" i="8" l="1"/>
  <c r="D18" i="8" s="1"/>
  <c r="E5" i="8" l="1"/>
  <c r="L5" i="8"/>
  <c r="E6" i="8"/>
  <c r="H6" i="8"/>
  <c r="L6" i="8"/>
  <c r="E7" i="8"/>
  <c r="H7" i="8"/>
  <c r="I7" i="8" s="1"/>
  <c r="L7" i="8"/>
  <c r="E8" i="8"/>
  <c r="H8" i="8"/>
  <c r="I8" i="8" s="1"/>
  <c r="L8" i="8"/>
  <c r="E9" i="8"/>
  <c r="H9" i="8"/>
  <c r="I9" i="8" s="1"/>
  <c r="L9" i="8"/>
  <c r="E10" i="8"/>
  <c r="H10" i="8"/>
  <c r="I10" i="8" s="1"/>
  <c r="L10" i="8"/>
  <c r="E11" i="8"/>
  <c r="H11" i="8"/>
  <c r="I11" i="8" s="1"/>
  <c r="L11" i="8"/>
  <c r="E12" i="8"/>
  <c r="L12" i="8"/>
  <c r="I6" i="8" l="1"/>
  <c r="J8" i="8"/>
  <c r="K8" i="8" s="1"/>
  <c r="J10" i="8"/>
  <c r="K10" i="8" s="1"/>
  <c r="J6" i="8"/>
  <c r="K6" i="8" s="1"/>
  <c r="J9" i="8"/>
  <c r="K9" i="8" s="1"/>
  <c r="J11" i="8"/>
  <c r="K11" i="8" s="1"/>
  <c r="J7" i="8"/>
  <c r="K7" i="8" s="1"/>
  <c r="J5" i="8"/>
  <c r="K5" i="8" s="1"/>
  <c r="H12" i="8"/>
  <c r="I12" i="8" s="1"/>
  <c r="J12" i="8" l="1"/>
  <c r="K12" i="8" s="1"/>
  <c r="E13" i="8" l="1"/>
  <c r="E16" i="8" s="1"/>
  <c r="H13" i="8"/>
  <c r="H14" i="8" s="1"/>
  <c r="H15" i="8" s="1"/>
  <c r="M6" i="8"/>
  <c r="M5" i="8"/>
  <c r="M9" i="8"/>
  <c r="M11" i="8"/>
  <c r="M10" i="8"/>
  <c r="M8" i="8"/>
  <c r="M7" i="8"/>
  <c r="H16" i="8" l="1"/>
  <c r="H17" i="8" s="1"/>
  <c r="H18" i="8" s="1"/>
  <c r="L13" i="8"/>
  <c r="I13" i="8"/>
  <c r="I14" i="8" s="1"/>
  <c r="I15" i="8" s="1"/>
  <c r="M12" i="8"/>
  <c r="I16" i="8" l="1"/>
  <c r="I17" i="8" s="1"/>
  <c r="I18" i="8" s="1"/>
  <c r="L16" i="8"/>
  <c r="L17" i="8" s="1"/>
  <c r="L18" i="8" s="1"/>
  <c r="L14" i="8"/>
  <c r="L15" i="8" s="1"/>
  <c r="M13" i="8" l="1"/>
  <c r="D14" i="8"/>
  <c r="D15" i="8" s="1"/>
  <c r="C4" i="12" l="1"/>
  <c r="C6" i="12" s="1"/>
  <c r="C7" i="12" s="1"/>
  <c r="C8" i="12" s="1"/>
  <c r="E14" i="8" l="1"/>
  <c r="E15" i="8" s="1"/>
  <c r="E17" i="8" l="1"/>
  <c r="E18" i="8" s="1"/>
  <c r="J13" i="8" l="1"/>
  <c r="J16" i="8" s="1"/>
  <c r="D24" i="8" s="1"/>
  <c r="J14" i="8" l="1"/>
  <c r="J15" i="8" s="1"/>
  <c r="K13" i="8"/>
  <c r="E24" i="8" l="1"/>
  <c r="K14" i="8"/>
  <c r="K15" i="8" s="1"/>
  <c r="K16" i="8"/>
  <c r="D23" i="8" s="1"/>
  <c r="J17" i="8"/>
  <c r="J18" i="8" s="1"/>
  <c r="K17" i="8" l="1"/>
  <c r="K18" i="8" s="1"/>
  <c r="M14" i="8"/>
  <c r="M15" i="8" s="1"/>
  <c r="M16" i="8" l="1"/>
  <c r="M17" i="8" s="1"/>
  <c r="M18" i="8" s="1"/>
  <c r="E23" i="8" l="1"/>
  <c r="D25" i="8"/>
</calcChain>
</file>

<file path=xl/sharedStrings.xml><?xml version="1.0" encoding="utf-8"?>
<sst xmlns="http://schemas.openxmlformats.org/spreadsheetml/2006/main" count="152" uniqueCount="118">
  <si>
    <t>全総概算工数</t>
  </si>
  <si>
    <t>概算見積 
Estimate Time</t>
  </si>
  <si>
    <t>Customer Database Analysis勉強(hr)
Customer Database Analysis</t>
  </si>
  <si>
    <t>Web要件定義～テスト完了(hr)
Requrement ~ Release</t>
  </si>
  <si>
    <t>※Web_Manhour_Detailシートに参考</t>
  </si>
  <si>
    <t>環境設定(hr/1person)
Enviroment Setting</t>
  </si>
  <si>
    <t>トータル(hr/1person)</t>
  </si>
  <si>
    <t>トータル(days/1person)</t>
  </si>
  <si>
    <t>トータル(month/1person)</t>
  </si>
  <si>
    <t>No</t>
  </si>
  <si>
    <t>Function ID</t>
  </si>
  <si>
    <t>Function Name</t>
  </si>
  <si>
    <t>Explanation</t>
  </si>
  <si>
    <t>Login</t>
  </si>
  <si>
    <t>ログインです。</t>
  </si>
  <si>
    <t>Forgot Password</t>
  </si>
  <si>
    <t>パスワードをお忘れたらログインパスワードをリセットします。</t>
  </si>
  <si>
    <t>Dashboard</t>
  </si>
  <si>
    <t>リアルタイム工場の情報表示を行います</t>
  </si>
  <si>
    <t>Menu</t>
  </si>
  <si>
    <t>メニュー</t>
  </si>
  <si>
    <t>Employee Register</t>
  </si>
  <si>
    <t>システム使うための社員登録を行います</t>
  </si>
  <si>
    <t>Master</t>
  </si>
  <si>
    <t>Employee List</t>
  </si>
  <si>
    <t>システム使うための社員一覧検索を行います</t>
  </si>
  <si>
    <t>Employee Edit</t>
  </si>
  <si>
    <t>システム使うための社員情報の変更を行います</t>
  </si>
  <si>
    <t>Employee Delete</t>
  </si>
  <si>
    <t>システム使うための社員情報の削除を行います</t>
  </si>
  <si>
    <t>Role Register</t>
  </si>
  <si>
    <t>システム使う権限登録を行います</t>
  </si>
  <si>
    <t>Role List</t>
  </si>
  <si>
    <t>システム使う権限一覧検索を行います</t>
  </si>
  <si>
    <t>Role &amp; Permission Register</t>
  </si>
  <si>
    <t>権限や画面上の機能マッチング登録を行います</t>
  </si>
  <si>
    <t>Role &amp; Permission List</t>
  </si>
  <si>
    <t>権限や画面上の機能マッチングの一覧検索を行います</t>
  </si>
  <si>
    <t>Role &amp; Permission Edit/ Delete</t>
  </si>
  <si>
    <t>権限や画面上の機能マッチング情報の更新・削除を行います</t>
  </si>
  <si>
    <t>Step Register</t>
  </si>
  <si>
    <t>工程ステップの登録を行います</t>
  </si>
  <si>
    <t>Step List</t>
  </si>
  <si>
    <t>工程ステップの一覧検索を行います</t>
  </si>
  <si>
    <t>Step Edit</t>
  </si>
  <si>
    <t>工程ステップ情報の変更を行います</t>
  </si>
  <si>
    <t>Step Delete</t>
  </si>
  <si>
    <t>工程ステップ情報の削除を行います</t>
  </si>
  <si>
    <t>Arrival Import (Download Format)</t>
  </si>
  <si>
    <t>パッキングリストや付属品輸入前にエクセルフォーマットのダウンロードを行います</t>
  </si>
  <si>
    <t>Arrival</t>
  </si>
  <si>
    <t>Arrival Import (Excel Import)</t>
  </si>
  <si>
    <t>パッキングリストや付属品の取り込みを行います</t>
  </si>
  <si>
    <t>Arrival List</t>
  </si>
  <si>
    <t>入荷一覧検索を行います</t>
  </si>
  <si>
    <t>開発の</t>
    <rPh sb="0" eb="2">
      <t>カイハツ</t>
    </rPh>
    <phoneticPr fontId="0"/>
  </si>
  <si>
    <t>開発の</t>
  </si>
  <si>
    <t>基本設計書の</t>
  </si>
  <si>
    <t>詳細設計書の</t>
  </si>
  <si>
    <t>設計書の</t>
  </si>
  <si>
    <t>単体テスト仕様書の</t>
  </si>
  <si>
    <t>基本全体設計
System Architecture</t>
  </si>
  <si>
    <t>基本設計
Basic Doc</t>
  </si>
  <si>
    <t>詳細設計
Detail Doc</t>
  </si>
  <si>
    <t>単体テスト
Unit Test</t>
  </si>
  <si>
    <t>結合テスト
Combine Test</t>
  </si>
  <si>
    <t>総合テスト
System Test</t>
  </si>
  <si>
    <t>機能ID</t>
  </si>
  <si>
    <t>機能名称</t>
  </si>
  <si>
    <t>Status</t>
  </si>
  <si>
    <t>開発工数(h)
Develop</t>
  </si>
  <si>
    <t>コードレビュー(h)
Code Review</t>
  </si>
  <si>
    <t>画面・帳票・機能(h)
Basic Document</t>
  </si>
  <si>
    <t>レビュー(h)
Basic Document Review</t>
  </si>
  <si>
    <t>クラス設計(h)
Detail Document</t>
  </si>
  <si>
    <t>レビュー(h)
Detail Document Review</t>
  </si>
  <si>
    <t>テスト仕様書(h)
Unit Test Document</t>
  </si>
  <si>
    <t>レビュー(h)
Unit Test Document Review</t>
  </si>
  <si>
    <t xml:space="preserve">実施(h)
Unit Test </t>
  </si>
  <si>
    <t>Total(h)</t>
  </si>
  <si>
    <t>簡単</t>
  </si>
  <si>
    <t>難しい</t>
  </si>
  <si>
    <t>1人(Hr)</t>
  </si>
  <si>
    <t>1人(Days)</t>
  </si>
  <si>
    <t>1人(Months)</t>
  </si>
  <si>
    <t>Leader  1人+ Developer 3人 + UIUX 1人 (Hr)</t>
  </si>
  <si>
    <t>Leader  1人+ Developer 3人 + UIUX 1人 (Days)</t>
  </si>
  <si>
    <t>Leader  1人+ Developer 3人 + UIUX 1人 (Months)</t>
  </si>
  <si>
    <t>Total Hr</t>
  </si>
  <si>
    <t>Total Days</t>
  </si>
  <si>
    <t>Leader</t>
  </si>
  <si>
    <t>Developer</t>
  </si>
  <si>
    <t>PHASE I</t>
  </si>
  <si>
    <t>Oct</t>
  </si>
  <si>
    <t>Nov</t>
  </si>
  <si>
    <t>Dec</t>
  </si>
  <si>
    <t>Jan</t>
  </si>
  <si>
    <t>Feb</t>
  </si>
  <si>
    <t>1W</t>
  </si>
  <si>
    <t>2W</t>
  </si>
  <si>
    <t>3W</t>
  </si>
  <si>
    <t>4W</t>
  </si>
  <si>
    <t>5W</t>
  </si>
  <si>
    <t>要件定義/Prototype</t>
  </si>
  <si>
    <t>基本設計書（各画面）
 Basic Document</t>
  </si>
  <si>
    <t>実装(Web)
Develop</t>
  </si>
  <si>
    <t>テストデータ作成
Test Document</t>
  </si>
  <si>
    <t>マニュアル作成
User Manual</t>
  </si>
  <si>
    <t>Web</t>
  </si>
  <si>
    <t>アサイン人</t>
  </si>
  <si>
    <t>SubTotal</t>
  </si>
  <si>
    <t>リーダAさん</t>
  </si>
  <si>
    <t>シニアBさん</t>
  </si>
  <si>
    <t>シニアCさん</t>
  </si>
  <si>
    <t>ジュニアDさん</t>
  </si>
  <si>
    <t>Infra Gさん</t>
  </si>
  <si>
    <t>UIUX Hさん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</si>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</sst>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rgb="FF000000"/>
      <name val="Arial"/>
      <family val="2"/>
    </font>
    <font>
      <sz val="11"/>
      <color rgb="FFFF0000"/>
      <name val="Meiryo UI"/>
      <family val="3"/>
      <charset val="128"/>
    </font>
    <font>
      <sz val="10"/>
      <color rgb="FF000000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Arial"/>
      <family val="2"/>
    </font>
    <font>
      <sz val="1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AF8FA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9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5" fillId="5" borderId="1" xfId="1" applyFont="1" applyFill="1" applyBorder="1" applyAlignment="1">
      <alignment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9" borderId="1" xfId="1" applyFont="1" applyFill="1" applyBorder="1" applyAlignment="1">
      <alignment vertical="center" wrapText="1"/>
    </xf>
    <xf numFmtId="0" fontId="5" fillId="7" borderId="0" xfId="1" applyFont="1" applyFill="1" applyAlignment="1">
      <alignment vertical="center" shrinkToFit="1"/>
    </xf>
    <xf numFmtId="9" fontId="6" fillId="7" borderId="0" xfId="1" applyNumberFormat="1" applyFont="1" applyFill="1" applyAlignment="1">
      <alignment vertical="center" wrapText="1"/>
    </xf>
    <xf numFmtId="9" fontId="4" fillId="7" borderId="0" xfId="1" applyNumberFormat="1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/>
    </xf>
    <xf numFmtId="2" fontId="0" fillId="0" borderId="2" xfId="0" applyNumberFormat="1" applyFill="1" applyBorder="1" applyAlignment="1">
      <alignment vertical="center"/>
    </xf>
    <xf numFmtId="2" fontId="0" fillId="0" borderId="1" xfId="0" applyNumberForma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2" fontId="0" fillId="10" borderId="7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2" fontId="0" fillId="10" borderId="1" xfId="0" applyNumberFormat="1" applyFill="1" applyBorder="1" applyAlignment="1">
      <alignment vertical="center"/>
    </xf>
    <xf numFmtId="2" fontId="0" fillId="10" borderId="12" xfId="0" applyNumberFormat="1" applyFill="1" applyBorder="1" applyAlignment="1">
      <alignment vertical="center"/>
    </xf>
    <xf numFmtId="0" fontId="2" fillId="0" borderId="1" xfId="0" quotePrefix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2" fontId="0" fillId="10" borderId="14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0" fillId="0" borderId="9" xfId="0" applyBorder="1"/>
    <xf numFmtId="0" fontId="0" fillId="0" borderId="10" xfId="0" applyBorder="1"/>
    <xf numFmtId="0" fontId="0" fillId="0" borderId="26" xfId="0" applyBorder="1"/>
    <xf numFmtId="0" fontId="0" fillId="0" borderId="2" xfId="0" applyBorder="1"/>
    <xf numFmtId="0" fontId="0" fillId="0" borderId="27" xfId="0" applyBorder="1"/>
    <xf numFmtId="0" fontId="0" fillId="0" borderId="15" xfId="0" applyBorder="1"/>
    <xf numFmtId="0" fontId="0" fillId="0" borderId="16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1" fillId="0" borderId="0" xfId="0" applyFont="1" applyAlignment="1">
      <alignment vertical="center"/>
    </xf>
    <xf numFmtId="0" fontId="0" fillId="4" borderId="0" xfId="0" applyFill="1"/>
    <xf numFmtId="1" fontId="0" fillId="11" borderId="1" xfId="0" applyNumberFormat="1" applyFill="1" applyBorder="1" applyAlignment="1">
      <alignment vertical="center"/>
    </xf>
    <xf numFmtId="1" fontId="0" fillId="10" borderId="10" xfId="0" applyNumberFormat="1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0" borderId="1" xfId="0" applyFill="1" applyBorder="1"/>
    <xf numFmtId="0" fontId="1" fillId="0" borderId="0" xfId="0" applyFont="1" applyAlignment="1">
      <alignment horizontal="center" vertical="center"/>
    </xf>
    <xf numFmtId="0" fontId="10" fillId="2" borderId="6" xfId="0" applyFont="1" applyFill="1" applyBorder="1" applyAlignment="1">
      <alignment horizontal="right" vertical="center" wrapText="1"/>
    </xf>
    <xf numFmtId="0" fontId="10" fillId="2" borderId="9" xfId="0" applyFont="1" applyFill="1" applyBorder="1" applyAlignment="1">
      <alignment horizontal="right" vertical="center" wrapText="1"/>
    </xf>
    <xf numFmtId="0" fontId="10" fillId="2" borderId="11" xfId="0" applyFont="1" applyFill="1" applyBorder="1" applyAlignment="1">
      <alignment horizontal="right" vertical="center" wrapText="1"/>
    </xf>
    <xf numFmtId="0" fontId="0" fillId="0" borderId="9" xfId="0" applyBorder="1" applyAlignment="1">
      <alignment horizontal="center" vertical="center"/>
    </xf>
    <xf numFmtId="2" fontId="0" fillId="0" borderId="0" xfId="0" applyNumberFormat="1" applyFill="1" applyBorder="1" applyAlignment="1">
      <alignment vertical="center"/>
    </xf>
    <xf numFmtId="1" fontId="0" fillId="10" borderId="14" xfId="0" applyNumberFormat="1" applyFill="1" applyBorder="1" applyAlignment="1">
      <alignment vertical="center"/>
    </xf>
    <xf numFmtId="2" fontId="0" fillId="10" borderId="10" xfId="0" applyNumberFormat="1" applyFill="1" applyBorder="1" applyAlignment="1">
      <alignment vertical="center"/>
    </xf>
    <xf numFmtId="2" fontId="0" fillId="10" borderId="13" xfId="0" applyNumberFormat="1" applyFill="1" applyBorder="1" applyAlignment="1">
      <alignment vertical="center"/>
    </xf>
    <xf numFmtId="2" fontId="0" fillId="10" borderId="2" xfId="0" applyNumberFormat="1" applyFill="1" applyBorder="1" applyAlignment="1">
      <alignment vertical="center"/>
    </xf>
    <xf numFmtId="1" fontId="0" fillId="10" borderId="16" xfId="0" applyNumberForma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64" fontId="0" fillId="11" borderId="1" xfId="0" applyNumberForma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2" fontId="0" fillId="0" borderId="0" xfId="0" applyNumberFormat="1" applyFill="1" applyAlignment="1">
      <alignment vertical="center"/>
    </xf>
    <xf numFmtId="0" fontId="1" fillId="0" borderId="0" xfId="0" applyFont="1"/>
    <xf numFmtId="0" fontId="0" fillId="0" borderId="1" xfId="0" applyFill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164" fontId="0" fillId="0" borderId="0" xfId="0" applyNumberFormat="1" applyAlignment="1">
      <alignment vertical="center"/>
    </xf>
    <xf numFmtId="164" fontId="0" fillId="0" borderId="0" xfId="0" applyNumberFormat="1"/>
    <xf numFmtId="164" fontId="0" fillId="2" borderId="14" xfId="0" applyNumberFormat="1" applyFill="1" applyBorder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164" fontId="0" fillId="2" borderId="13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1" fontId="0" fillId="0" borderId="1" xfId="0" applyNumberFormat="1" applyBorder="1" applyAlignment="1">
      <alignment horizontal="center" vertical="top"/>
    </xf>
    <xf numFmtId="1" fontId="0" fillId="0" borderId="1" xfId="0" applyNumberFormat="1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34" xfId="0" applyBorder="1" applyAlignment="1">
      <alignment horizontal="center"/>
    </xf>
    <xf numFmtId="9" fontId="4" fillId="5" borderId="3" xfId="1" applyNumberFormat="1" applyFont="1" applyFill="1" applyBorder="1" applyAlignment="1">
      <alignment horizontal="center" vertical="center" wrapText="1"/>
    </xf>
    <xf numFmtId="9" fontId="4" fillId="5" borderId="4" xfId="1" applyNumberFormat="1" applyFont="1" applyFill="1" applyBorder="1" applyAlignment="1">
      <alignment horizontal="center" vertical="center" wrapText="1"/>
    </xf>
    <xf numFmtId="0" fontId="0" fillId="10" borderId="38" xfId="0" applyFill="1" applyBorder="1" applyAlignment="1">
      <alignment horizontal="right" vertical="center"/>
    </xf>
    <xf numFmtId="0" fontId="0" fillId="10" borderId="39" xfId="0" applyFill="1" applyBorder="1" applyAlignment="1">
      <alignment horizontal="right" vertical="center"/>
    </xf>
    <xf numFmtId="0" fontId="0" fillId="10" borderId="20" xfId="0" applyFill="1" applyBorder="1" applyAlignment="1">
      <alignment horizontal="right" vertical="center"/>
    </xf>
    <xf numFmtId="0" fontId="0" fillId="10" borderId="25" xfId="0" applyFill="1" applyBorder="1" applyAlignment="1">
      <alignment horizontal="right" vertical="center"/>
    </xf>
    <xf numFmtId="0" fontId="0" fillId="10" borderId="5" xfId="0" applyFill="1" applyBorder="1" applyAlignment="1">
      <alignment horizontal="right" vertical="center"/>
    </xf>
    <xf numFmtId="0" fontId="0" fillId="10" borderId="4" xfId="0" applyFill="1" applyBorder="1" applyAlignment="1">
      <alignment horizontal="right" vertical="center"/>
    </xf>
    <xf numFmtId="0" fontId="0" fillId="10" borderId="35" xfId="0" applyFill="1" applyBorder="1" applyAlignment="1">
      <alignment horizontal="right" vertical="center"/>
    </xf>
    <xf numFmtId="0" fontId="0" fillId="10" borderId="36" xfId="0" applyFill="1" applyBorder="1" applyAlignment="1">
      <alignment horizontal="right" vertical="center"/>
    </xf>
    <xf numFmtId="0" fontId="0" fillId="10" borderId="37" xfId="0" applyFill="1" applyBorder="1" applyAlignment="1">
      <alignment horizontal="right" vertical="center"/>
    </xf>
    <xf numFmtId="9" fontId="4" fillId="5" borderId="1" xfId="1" applyNumberFormat="1" applyFont="1" applyFill="1" applyBorder="1" applyAlignment="1">
      <alignment horizontal="center" vertical="center" wrapText="1"/>
    </xf>
    <xf numFmtId="9" fontId="4" fillId="6" borderId="1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</cellXfs>
  <cellStyles count="2">
    <cellStyle name="Normal" xfId="0" builtinId="0"/>
    <cellStyle name="標準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480804</xdr:colOff>
      <xdr:row>5</xdr:row>
      <xdr:rowOff>122066</xdr:rowOff>
    </xdr:from>
    <xdr:to>
      <xdr:col>9</xdr:col>
      <xdr:colOff>262466</xdr:colOff>
      <xdr:row>5</xdr:row>
      <xdr:rowOff>347134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4629471" y="1688399"/>
          <a:ext cx="966995" cy="22506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262465</xdr:colOff>
      <xdr:row>6</xdr:row>
      <xdr:rowOff>90084</xdr:rowOff>
    </xdr:from>
    <xdr:to>
      <xdr:col>13</xdr:col>
      <xdr:colOff>355600</xdr:colOff>
      <xdr:row>6</xdr:row>
      <xdr:rowOff>313268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596465" y="2520017"/>
          <a:ext cx="2463802" cy="22318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2033</xdr:colOff>
      <xdr:row>11</xdr:row>
      <xdr:rowOff>170845</xdr:rowOff>
    </xdr:from>
    <xdr:to>
      <xdr:col>19</xdr:col>
      <xdr:colOff>203199</xdr:colOff>
      <xdr:row>11</xdr:row>
      <xdr:rowOff>347134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1262700" y="5132312"/>
          <a:ext cx="201166" cy="17628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287867</xdr:colOff>
      <xdr:row>7</xdr:row>
      <xdr:rowOff>169108</xdr:rowOff>
    </xdr:from>
    <xdr:to>
      <xdr:col>12</xdr:col>
      <xdr:colOff>592666</xdr:colOff>
      <xdr:row>7</xdr:row>
      <xdr:rowOff>321733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7399867" y="3445708"/>
          <a:ext cx="304799" cy="152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34857</xdr:colOff>
      <xdr:row>4</xdr:row>
      <xdr:rowOff>148454</xdr:rowOff>
    </xdr:from>
    <xdr:to>
      <xdr:col>7</xdr:col>
      <xdr:colOff>482600</xdr:colOff>
      <xdr:row>4</xdr:row>
      <xdr:rowOff>347133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812857" y="1223721"/>
          <a:ext cx="2818410" cy="19867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12192</xdr:colOff>
      <xdr:row>3</xdr:row>
      <xdr:rowOff>122889</xdr:rowOff>
    </xdr:from>
    <xdr:to>
      <xdr:col>5</xdr:col>
      <xdr:colOff>76201</xdr:colOff>
      <xdr:row>3</xdr:row>
      <xdr:rowOff>321734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790192" y="698622"/>
          <a:ext cx="1249342" cy="19884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</xdr:colOff>
      <xdr:row>9</xdr:row>
      <xdr:rowOff>137996</xdr:rowOff>
    </xdr:from>
    <xdr:to>
      <xdr:col>18</xdr:col>
      <xdr:colOff>84667</xdr:colOff>
      <xdr:row>9</xdr:row>
      <xdr:rowOff>304800</xdr:rowOff>
    </xdr:to>
    <xdr:sp macro="" textlink="">
      <xdr:nvSpPr>
        <xdr:cNvPr id="33" name="Right Arrow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9482669" y="4252796"/>
          <a:ext cx="1269998" cy="16680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１</a:t>
          </a:r>
          <a:endParaRPr lang="en-US" sz="1100"/>
        </a:p>
      </xdr:txBody>
    </xdr:sp>
    <xdr:clientData/>
  </xdr:twoCellAnchor>
  <xdr:twoCellAnchor>
    <xdr:from>
      <xdr:col>13</xdr:col>
      <xdr:colOff>13777</xdr:colOff>
      <xdr:row>8</xdr:row>
      <xdr:rowOff>154926</xdr:rowOff>
    </xdr:from>
    <xdr:to>
      <xdr:col>15</xdr:col>
      <xdr:colOff>584200</xdr:colOff>
      <xdr:row>8</xdr:row>
      <xdr:rowOff>347133</xdr:rowOff>
    </xdr:to>
    <xdr:sp macro="" textlink="">
      <xdr:nvSpPr>
        <xdr:cNvPr id="34" name="Right Arrow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7718444" y="3846393"/>
          <a:ext cx="1755756" cy="19220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127000</xdr:colOff>
      <xdr:row>10</xdr:row>
      <xdr:rowOff>121059</xdr:rowOff>
    </xdr:from>
    <xdr:to>
      <xdr:col>18</xdr:col>
      <xdr:colOff>584199</xdr:colOff>
      <xdr:row>10</xdr:row>
      <xdr:rowOff>270935</xdr:rowOff>
    </xdr:to>
    <xdr:sp macro="" textlink="">
      <xdr:nvSpPr>
        <xdr:cNvPr id="69" name="Right Arrow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10795000" y="4659192"/>
          <a:ext cx="457199" cy="14987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8"/>
  <sheetViews>
    <sheetView workbookViewId="0"/>
  </sheetViews>
  <sheetFormatPr defaultColWidth="8.81640625" defaultRowHeight="14.5"/>
  <cols>
    <col min="1" max="1" width="8.81640625" style="6"/>
    <col min="2" max="2" width="38.81640625" style="6" customWidth="1"/>
    <col min="3" max="3" width="16.453125" style="47" customWidth="1"/>
    <col min="4" max="16384" width="8.81640625" style="6"/>
  </cols>
  <sheetData>
    <row r="1" spans="2:4">
      <c r="C1" s="50" t="s">
        <v>0</v>
      </c>
    </row>
    <row r="2" spans="2:4" ht="30" customHeight="1">
      <c r="B2" s="83" t="s">
        <v>1</v>
      </c>
      <c r="C2" s="81">
        <v>48</v>
      </c>
    </row>
    <row r="3" spans="2:4" ht="30" customHeight="1">
      <c r="B3" s="84" t="s">
        <v>2</v>
      </c>
      <c r="C3" s="82">
        <v>80</v>
      </c>
    </row>
    <row r="4" spans="2:4" ht="30" customHeight="1">
      <c r="B4" s="83" t="s">
        <v>3</v>
      </c>
      <c r="C4" s="81">
        <f>Web_Manhour_Detail!M13</f>
        <v>95.661000000000016</v>
      </c>
      <c r="D4" s="6" t="s">
        <v>4</v>
      </c>
    </row>
    <row r="5" spans="2:4" ht="30" customHeight="1" thickBot="1">
      <c r="B5" s="83" t="s">
        <v>5</v>
      </c>
      <c r="C5" s="81">
        <f>8*5</f>
        <v>40</v>
      </c>
    </row>
    <row r="6" spans="2:4">
      <c r="B6" s="51" t="s">
        <v>6</v>
      </c>
      <c r="C6" s="73">
        <f>SUM(C2:C5)</f>
        <v>263.661</v>
      </c>
    </row>
    <row r="7" spans="2:4">
      <c r="B7" s="52" t="s">
        <v>7</v>
      </c>
      <c r="C7" s="74">
        <f>C6/8</f>
        <v>32.957625</v>
      </c>
    </row>
    <row r="8" spans="2:4" ht="15" thickBot="1">
      <c r="B8" s="53" t="s">
        <v>8</v>
      </c>
      <c r="C8" s="75">
        <f>C7/20</f>
        <v>1.64788125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1"/>
  <sheetViews>
    <sheetView topLeftCell="A11" workbookViewId="0">
      <selection activeCell="D27" sqref="D27"/>
    </sheetView>
  </sheetViews>
  <sheetFormatPr defaultRowHeight="14.5"/>
  <cols>
    <col min="1" max="1" width="3.1796875" customWidth="1"/>
    <col min="2" max="2" width="7.54296875" style="47" customWidth="1"/>
    <col min="3" max="3" width="16.453125" customWidth="1"/>
    <col min="4" max="4" width="37.453125" customWidth="1"/>
    <col min="5" max="5" width="118" customWidth="1"/>
    <col min="6" max="6" width="22.1796875" hidden="1" customWidth="1"/>
  </cols>
  <sheetData>
    <row r="1" spans="2:6">
      <c r="B1" s="1" t="s">
        <v>9</v>
      </c>
      <c r="C1" s="1" t="s">
        <v>10</v>
      </c>
      <c r="D1" s="1" t="s">
        <v>11</v>
      </c>
      <c r="E1" s="48" t="s">
        <v>12</v>
      </c>
    </row>
    <row r="2" spans="2:6">
      <c r="B2" s="68">
        <v>1</v>
      </c>
      <c r="C2" s="4"/>
      <c r="D2" s="4" t="s">
        <v>13</v>
      </c>
      <c r="E2" s="49" t="s">
        <v>14</v>
      </c>
      <c r="F2" s="85" t="s">
        <v>13</v>
      </c>
    </row>
    <row r="3" spans="2:6">
      <c r="B3" s="68">
        <v>2</v>
      </c>
      <c r="C3" s="5"/>
      <c r="D3" s="5" t="s">
        <v>15</v>
      </c>
      <c r="E3" s="49" t="s">
        <v>16</v>
      </c>
      <c r="F3" s="85"/>
    </row>
    <row r="4" spans="2:6">
      <c r="B4" s="68">
        <v>3</v>
      </c>
      <c r="C4" s="5"/>
      <c r="D4" s="5" t="s">
        <v>17</v>
      </c>
      <c r="E4" s="49" t="s">
        <v>18</v>
      </c>
      <c r="F4" s="85"/>
    </row>
    <row r="5" spans="2:6">
      <c r="B5" s="68">
        <v>4</v>
      </c>
      <c r="C5" s="4"/>
      <c r="D5" s="4" t="s">
        <v>19</v>
      </c>
      <c r="E5" s="49" t="s">
        <v>20</v>
      </c>
      <c r="F5" s="85"/>
    </row>
    <row r="6" spans="2:6">
      <c r="B6" s="68">
        <v>5</v>
      </c>
      <c r="C6" s="5"/>
      <c r="D6" s="5" t="s">
        <v>21</v>
      </c>
      <c r="E6" s="49" t="s">
        <v>22</v>
      </c>
      <c r="F6" s="85" t="s">
        <v>23</v>
      </c>
    </row>
    <row r="7" spans="2:6">
      <c r="B7" s="68">
        <v>6</v>
      </c>
      <c r="C7" s="22"/>
      <c r="D7" s="22" t="s">
        <v>24</v>
      </c>
      <c r="E7" s="49" t="s">
        <v>25</v>
      </c>
      <c r="F7" s="85"/>
    </row>
    <row r="8" spans="2:6">
      <c r="B8" s="68">
        <v>7</v>
      </c>
      <c r="C8" s="5"/>
      <c r="D8" s="5" t="s">
        <v>26</v>
      </c>
      <c r="E8" s="49" t="s">
        <v>27</v>
      </c>
      <c r="F8" s="85"/>
    </row>
    <row r="9" spans="2:6">
      <c r="B9" s="68">
        <v>8</v>
      </c>
      <c r="C9" s="22"/>
      <c r="D9" s="22" t="s">
        <v>28</v>
      </c>
      <c r="E9" s="49" t="s">
        <v>29</v>
      </c>
      <c r="F9" s="85"/>
    </row>
    <row r="10" spans="2:6">
      <c r="B10" s="68">
        <v>9</v>
      </c>
      <c r="C10" s="3"/>
      <c r="D10" s="3" t="s">
        <v>30</v>
      </c>
      <c r="E10" s="49" t="s">
        <v>31</v>
      </c>
      <c r="F10" s="85"/>
    </row>
    <row r="11" spans="2:6">
      <c r="B11" s="68">
        <v>10</v>
      </c>
      <c r="C11" s="3"/>
      <c r="D11" s="3" t="s">
        <v>32</v>
      </c>
      <c r="E11" s="49" t="s">
        <v>33</v>
      </c>
      <c r="F11" s="85"/>
    </row>
    <row r="12" spans="2:6">
      <c r="B12" s="68">
        <v>11</v>
      </c>
      <c r="C12" s="69"/>
      <c r="D12" s="70" t="s">
        <v>34</v>
      </c>
      <c r="E12" s="49" t="s">
        <v>35</v>
      </c>
      <c r="F12" s="85"/>
    </row>
    <row r="13" spans="2:6">
      <c r="B13" s="68">
        <v>12</v>
      </c>
      <c r="C13" s="3"/>
      <c r="D13" s="3" t="s">
        <v>36</v>
      </c>
      <c r="E13" s="49" t="s">
        <v>37</v>
      </c>
      <c r="F13" s="85"/>
    </row>
    <row r="14" spans="2:6">
      <c r="B14" s="68">
        <v>13</v>
      </c>
      <c r="C14" s="3"/>
      <c r="D14" s="3" t="s">
        <v>38</v>
      </c>
      <c r="E14" s="49" t="s">
        <v>39</v>
      </c>
      <c r="F14" s="85"/>
    </row>
    <row r="15" spans="2:6">
      <c r="B15" s="68">
        <v>14</v>
      </c>
      <c r="C15" s="5"/>
      <c r="D15" s="5" t="s">
        <v>40</v>
      </c>
      <c r="E15" s="49" t="s">
        <v>41</v>
      </c>
      <c r="F15" s="85"/>
    </row>
    <row r="16" spans="2:6">
      <c r="B16" s="68">
        <v>15</v>
      </c>
      <c r="C16" s="22"/>
      <c r="D16" s="22" t="s">
        <v>42</v>
      </c>
      <c r="E16" s="49" t="s">
        <v>43</v>
      </c>
      <c r="F16" s="85"/>
    </row>
    <row r="17" spans="2:6">
      <c r="B17" s="68">
        <v>16</v>
      </c>
      <c r="C17" s="22"/>
      <c r="D17" s="22" t="s">
        <v>44</v>
      </c>
      <c r="E17" s="49" t="s">
        <v>45</v>
      </c>
      <c r="F17" s="85"/>
    </row>
    <row r="18" spans="2:6">
      <c r="B18" s="68">
        <v>17</v>
      </c>
      <c r="C18" s="5"/>
      <c r="D18" s="5" t="s">
        <v>46</v>
      </c>
      <c r="E18" s="49" t="s">
        <v>47</v>
      </c>
      <c r="F18" s="85"/>
    </row>
    <row r="19" spans="2:6">
      <c r="B19" s="68">
        <v>18</v>
      </c>
      <c r="C19" s="3"/>
      <c r="D19" s="3" t="s">
        <v>48</v>
      </c>
      <c r="E19" s="49" t="s">
        <v>49</v>
      </c>
      <c r="F19" s="85" t="s">
        <v>50</v>
      </c>
    </row>
    <row r="20" spans="2:6">
      <c r="B20" s="68">
        <v>19</v>
      </c>
      <c r="C20" s="4"/>
      <c r="D20" s="4" t="s">
        <v>51</v>
      </c>
      <c r="E20" s="49" t="s">
        <v>52</v>
      </c>
      <c r="F20" s="85"/>
    </row>
    <row r="21" spans="2:6">
      <c r="B21" s="68">
        <v>20</v>
      </c>
      <c r="C21" s="3"/>
      <c r="D21" s="3" t="s">
        <v>53</v>
      </c>
      <c r="E21" s="49" t="s">
        <v>54</v>
      </c>
      <c r="F21" s="85"/>
    </row>
  </sheetData>
  <autoFilter ref="C1:C21"/>
  <mergeCells count="3">
    <mergeCell ref="F2:F5"/>
    <mergeCell ref="F6:F18"/>
    <mergeCell ref="F19:F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zoomScale="90" zoomScaleNormal="90" workbookViewId="0">
      <pane xSplit="5" ySplit="4" topLeftCell="F5" activePane="bottomRight" state="frozen"/>
      <selection pane="topRight" activeCell="L1" sqref="L1"/>
      <selection pane="bottomLeft" activeCell="A5" sqref="A5"/>
      <selection pane="bottomRight"/>
    </sheetView>
  </sheetViews>
  <sheetFormatPr defaultColWidth="8.81640625" defaultRowHeight="14.5"/>
  <cols>
    <col min="1" max="1" width="13.453125" style="6" customWidth="1"/>
    <col min="2" max="2" width="33.453125" style="6" customWidth="1"/>
    <col min="3" max="3" width="7.81640625" style="17" customWidth="1"/>
    <col min="4" max="4" width="11.81640625" style="6" customWidth="1"/>
    <col min="5" max="5" width="14.1796875" style="6" customWidth="1"/>
    <col min="6" max="6" width="17.1796875" style="6" customWidth="1"/>
    <col min="7" max="7" width="10.81640625" style="6" bestFit="1" customWidth="1"/>
    <col min="8" max="8" width="13" style="6" customWidth="1"/>
    <col min="9" max="9" width="10.81640625" style="6" customWidth="1"/>
    <col min="10" max="10" width="14.26953125" style="6" customWidth="1"/>
    <col min="11" max="11" width="10.453125" style="6" customWidth="1"/>
    <col min="12" max="12" width="8.81640625" style="6" customWidth="1"/>
    <col min="13" max="13" width="9.453125" style="6" bestFit="1" customWidth="1"/>
    <col min="14" max="14" width="15" style="6" customWidth="1"/>
    <col min="15" max="15" width="9.453125" style="6" bestFit="1" customWidth="1"/>
    <col min="16" max="16384" width="8.81640625" style="6"/>
  </cols>
  <sheetData>
    <row r="1" spans="1:15">
      <c r="E1" s="10" t="s">
        <v>55</v>
      </c>
      <c r="F1" s="10" t="s">
        <v>56</v>
      </c>
      <c r="G1" s="10" t="s">
        <v>57</v>
      </c>
      <c r="H1" s="10" t="s">
        <v>56</v>
      </c>
      <c r="I1" s="10" t="s">
        <v>58</v>
      </c>
      <c r="J1" s="10" t="s">
        <v>59</v>
      </c>
      <c r="K1" s="10" t="s">
        <v>60</v>
      </c>
      <c r="L1" s="10" t="s">
        <v>56</v>
      </c>
    </row>
    <row r="2" spans="1:15">
      <c r="E2" s="11">
        <v>0.1</v>
      </c>
      <c r="F2" s="11">
        <v>0.1</v>
      </c>
      <c r="G2" s="11">
        <v>0.2</v>
      </c>
      <c r="H2" s="11">
        <v>0</v>
      </c>
      <c r="I2" s="11">
        <v>0</v>
      </c>
      <c r="J2" s="11">
        <v>0.5</v>
      </c>
      <c r="K2" s="11">
        <v>0.03</v>
      </c>
      <c r="L2" s="11">
        <v>0.5</v>
      </c>
    </row>
    <row r="3" spans="1:15" ht="33" customHeight="1">
      <c r="E3" s="12"/>
      <c r="F3" s="86" t="s">
        <v>62</v>
      </c>
      <c r="G3" s="87"/>
      <c r="H3" s="97" t="s">
        <v>63</v>
      </c>
      <c r="I3" s="97"/>
      <c r="J3" s="98" t="s">
        <v>64</v>
      </c>
      <c r="K3" s="98"/>
      <c r="L3" s="98"/>
    </row>
    <row r="4" spans="1:15" ht="67.5" customHeight="1">
      <c r="A4" s="13" t="s">
        <v>67</v>
      </c>
      <c r="B4" s="13" t="s">
        <v>68</v>
      </c>
      <c r="C4" s="65" t="s">
        <v>69</v>
      </c>
      <c r="D4" s="80" t="s">
        <v>70</v>
      </c>
      <c r="E4" s="7" t="s">
        <v>71</v>
      </c>
      <c r="F4" s="7" t="s">
        <v>72</v>
      </c>
      <c r="G4" s="7" t="s">
        <v>73</v>
      </c>
      <c r="H4" s="7" t="s">
        <v>74</v>
      </c>
      <c r="I4" s="7" t="s">
        <v>75</v>
      </c>
      <c r="J4" s="8" t="s">
        <v>76</v>
      </c>
      <c r="K4" s="8" t="s">
        <v>77</v>
      </c>
      <c r="L4" s="8" t="s">
        <v>78</v>
      </c>
      <c r="M4" s="9" t="s">
        <v>79</v>
      </c>
    </row>
    <row r="5" spans="1:15">
      <c r="A5" s="4"/>
      <c r="B5" s="4" t="s">
        <v>13</v>
      </c>
      <c r="C5" s="16" t="s">
        <v>80</v>
      </c>
      <c r="D5" s="14">
        <v>4</v>
      </c>
      <c r="E5" s="14">
        <f>D5*E2</f>
        <v>0.4</v>
      </c>
      <c r="F5" s="15">
        <f>D5*F2</f>
        <v>0.4</v>
      </c>
      <c r="G5" s="15">
        <f>F5*G2</f>
        <v>8.0000000000000016E-2</v>
      </c>
      <c r="H5" s="14">
        <f>D5*H2</f>
        <v>0</v>
      </c>
      <c r="I5" s="15">
        <f>H5*I2</f>
        <v>0</v>
      </c>
      <c r="J5" s="15">
        <f>F5*J2</f>
        <v>0.2</v>
      </c>
      <c r="K5" s="15">
        <f>J5*K2</f>
        <v>6.0000000000000001E-3</v>
      </c>
      <c r="L5" s="15">
        <f>D5*L2</f>
        <v>2</v>
      </c>
      <c r="M5" s="15">
        <f t="shared" ref="M5:M12" si="0">SUM(D5:L5)</f>
        <v>7.0860000000000012</v>
      </c>
      <c r="N5" s="17"/>
      <c r="O5" s="17"/>
    </row>
    <row r="6" spans="1:15">
      <c r="A6" s="5"/>
      <c r="B6" s="5" t="s">
        <v>15</v>
      </c>
      <c r="C6" s="16" t="s">
        <v>80</v>
      </c>
      <c r="D6" s="14">
        <v>4</v>
      </c>
      <c r="E6" s="14">
        <f>D6*E2</f>
        <v>0.4</v>
      </c>
      <c r="F6" s="15">
        <f>D6*F2</f>
        <v>0.4</v>
      </c>
      <c r="G6" s="15">
        <f>F6*G2</f>
        <v>8.0000000000000016E-2</v>
      </c>
      <c r="H6" s="14">
        <f>D6*H2</f>
        <v>0</v>
      </c>
      <c r="I6" s="15">
        <f>H6*I2</f>
        <v>0</v>
      </c>
      <c r="J6" s="15">
        <f>F6*J2</f>
        <v>0.2</v>
      </c>
      <c r="K6" s="15">
        <f>J6*K2</f>
        <v>6.0000000000000001E-3</v>
      </c>
      <c r="L6" s="15">
        <f>D6*L2</f>
        <v>2</v>
      </c>
      <c r="M6" s="15">
        <f t="shared" si="0"/>
        <v>7.0860000000000012</v>
      </c>
      <c r="N6" s="17"/>
      <c r="O6" s="17"/>
    </row>
    <row r="7" spans="1:15">
      <c r="A7" s="5"/>
      <c r="B7" s="5" t="s">
        <v>17</v>
      </c>
      <c r="C7" s="16" t="s">
        <v>81</v>
      </c>
      <c r="D7" s="14">
        <v>32</v>
      </c>
      <c r="E7" s="14">
        <f>D7*E2</f>
        <v>3.2</v>
      </c>
      <c r="F7" s="15">
        <f>D7*F2</f>
        <v>3.2</v>
      </c>
      <c r="G7" s="15">
        <f>F7*G2</f>
        <v>0.64000000000000012</v>
      </c>
      <c r="H7" s="14">
        <f>D7*H2</f>
        <v>0</v>
      </c>
      <c r="I7" s="15">
        <f>H7*I2</f>
        <v>0</v>
      </c>
      <c r="J7" s="15">
        <f>F7*J2</f>
        <v>1.6</v>
      </c>
      <c r="K7" s="15">
        <f>J7*K2</f>
        <v>4.8000000000000001E-2</v>
      </c>
      <c r="L7" s="15">
        <f>D7*L2</f>
        <v>16</v>
      </c>
      <c r="M7" s="15">
        <f t="shared" si="0"/>
        <v>56.688000000000009</v>
      </c>
      <c r="N7" s="17"/>
      <c r="O7" s="17"/>
    </row>
    <row r="8" spans="1:15">
      <c r="A8" s="5"/>
      <c r="B8" s="4" t="s">
        <v>19</v>
      </c>
      <c r="C8" s="16" t="s">
        <v>80</v>
      </c>
      <c r="D8" s="14">
        <v>4</v>
      </c>
      <c r="E8" s="14">
        <f>D8*E2</f>
        <v>0.4</v>
      </c>
      <c r="F8" s="15">
        <f>D8*F2</f>
        <v>0.4</v>
      </c>
      <c r="G8" s="15">
        <f>F8*G2</f>
        <v>8.0000000000000016E-2</v>
      </c>
      <c r="H8" s="14">
        <f>D8*H2</f>
        <v>0</v>
      </c>
      <c r="I8" s="15">
        <f>H8*I2</f>
        <v>0</v>
      </c>
      <c r="J8" s="15">
        <f>F8*J2</f>
        <v>0.2</v>
      </c>
      <c r="K8" s="15">
        <f>J8*K2</f>
        <v>6.0000000000000001E-3</v>
      </c>
      <c r="L8" s="15">
        <f>D8*L2</f>
        <v>2</v>
      </c>
      <c r="M8" s="15">
        <f t="shared" si="0"/>
        <v>7.0860000000000012</v>
      </c>
      <c r="N8" s="17"/>
      <c r="O8" s="17"/>
    </row>
    <row r="9" spans="1:15">
      <c r="A9" s="5"/>
      <c r="B9" s="5" t="s">
        <v>21</v>
      </c>
      <c r="C9" s="16" t="s">
        <v>80</v>
      </c>
      <c r="D9" s="14">
        <v>3</v>
      </c>
      <c r="E9" s="14">
        <f>D9*E2</f>
        <v>0.30000000000000004</v>
      </c>
      <c r="F9" s="15">
        <f>D9*F2</f>
        <v>0.30000000000000004</v>
      </c>
      <c r="G9" s="15">
        <f>F9*G2</f>
        <v>6.0000000000000012E-2</v>
      </c>
      <c r="H9" s="14">
        <f>D9*H2</f>
        <v>0</v>
      </c>
      <c r="I9" s="15">
        <f>H9*I2</f>
        <v>0</v>
      </c>
      <c r="J9" s="15">
        <f>F9*J2</f>
        <v>0.15000000000000002</v>
      </c>
      <c r="K9" s="15">
        <f>J9*K2</f>
        <v>4.5000000000000005E-3</v>
      </c>
      <c r="L9" s="15">
        <f>D9*L2</f>
        <v>1.5</v>
      </c>
      <c r="M9" s="15">
        <f t="shared" si="0"/>
        <v>5.3144999999999998</v>
      </c>
      <c r="N9" s="17"/>
      <c r="O9" s="17"/>
    </row>
    <row r="10" spans="1:15" s="17" customFormat="1">
      <c r="A10" s="5"/>
      <c r="B10" s="22" t="s">
        <v>24</v>
      </c>
      <c r="C10" s="16" t="s">
        <v>80</v>
      </c>
      <c r="D10" s="14">
        <v>3</v>
      </c>
      <c r="E10" s="15">
        <f>D10*E2</f>
        <v>0.30000000000000004</v>
      </c>
      <c r="F10" s="15">
        <f>D10*F2</f>
        <v>0.30000000000000004</v>
      </c>
      <c r="G10" s="15">
        <f>F10*G2</f>
        <v>6.0000000000000012E-2</v>
      </c>
      <c r="H10" s="15">
        <f>D10*H2</f>
        <v>0</v>
      </c>
      <c r="I10" s="15">
        <f>H10*I2</f>
        <v>0</v>
      </c>
      <c r="J10" s="15">
        <f>F10*J2</f>
        <v>0.15000000000000002</v>
      </c>
      <c r="K10" s="15">
        <f>J10*K2</f>
        <v>4.5000000000000005E-3</v>
      </c>
      <c r="L10" s="15">
        <f>D10*L2</f>
        <v>1.5</v>
      </c>
      <c r="M10" s="15">
        <f t="shared" si="0"/>
        <v>5.3144999999999998</v>
      </c>
    </row>
    <row r="11" spans="1:15">
      <c r="A11" s="5"/>
      <c r="B11" s="5" t="s">
        <v>26</v>
      </c>
      <c r="C11" s="16" t="s">
        <v>80</v>
      </c>
      <c r="D11" s="15">
        <v>2</v>
      </c>
      <c r="E11" s="15">
        <f>D11*E2</f>
        <v>0.2</v>
      </c>
      <c r="F11" s="15">
        <f>D11*F2</f>
        <v>0.2</v>
      </c>
      <c r="G11" s="15">
        <f>F11*G2</f>
        <v>4.0000000000000008E-2</v>
      </c>
      <c r="H11" s="15">
        <f>D11*H2</f>
        <v>0</v>
      </c>
      <c r="I11" s="15">
        <f>H11*I2</f>
        <v>0</v>
      </c>
      <c r="J11" s="15">
        <f>F11*J2</f>
        <v>0.1</v>
      </c>
      <c r="K11" s="15">
        <f>J11*K2</f>
        <v>3.0000000000000001E-3</v>
      </c>
      <c r="L11" s="15">
        <f>D11*L2</f>
        <v>1</v>
      </c>
      <c r="M11" s="15">
        <f t="shared" si="0"/>
        <v>3.5430000000000006</v>
      </c>
      <c r="N11" s="17"/>
      <c r="O11" s="17"/>
    </row>
    <row r="12" spans="1:15" ht="15" thickBot="1">
      <c r="A12" s="22"/>
      <c r="B12" s="22" t="s">
        <v>28</v>
      </c>
      <c r="C12" s="16" t="s">
        <v>80</v>
      </c>
      <c r="D12" s="15">
        <v>2</v>
      </c>
      <c r="E12" s="15">
        <f>D12*E2</f>
        <v>0.2</v>
      </c>
      <c r="F12" s="15">
        <f>D12*F2</f>
        <v>0.2</v>
      </c>
      <c r="G12" s="15">
        <f>F12*G2</f>
        <v>4.0000000000000008E-2</v>
      </c>
      <c r="H12" s="15">
        <f>D12*H2</f>
        <v>0</v>
      </c>
      <c r="I12" s="15">
        <f>H12*I2</f>
        <v>0</v>
      </c>
      <c r="J12" s="15">
        <f>F12*J2</f>
        <v>0.1</v>
      </c>
      <c r="K12" s="15">
        <f>J12*K2</f>
        <v>3.0000000000000001E-3</v>
      </c>
      <c r="L12" s="15">
        <f>D12*L2</f>
        <v>1</v>
      </c>
      <c r="M12" s="15">
        <f t="shared" si="0"/>
        <v>3.5430000000000006</v>
      </c>
      <c r="N12" s="17"/>
      <c r="O12" s="17"/>
    </row>
    <row r="13" spans="1:15">
      <c r="A13" s="88" t="s">
        <v>82</v>
      </c>
      <c r="B13" s="89"/>
      <c r="C13" s="90"/>
      <c r="D13" s="18">
        <f>SUM(D5:D12)</f>
        <v>54</v>
      </c>
      <c r="E13" s="18">
        <f>SUM(E5:E12)</f>
        <v>5.4</v>
      </c>
      <c r="F13" s="18">
        <f>SUM(F5:F12)</f>
        <v>5.4</v>
      </c>
      <c r="G13" s="18">
        <f>SUM(G5:G12)</f>
        <v>1.0800000000000003</v>
      </c>
      <c r="H13" s="18">
        <f>SUM(H5:H12)</f>
        <v>0</v>
      </c>
      <c r="I13" s="18">
        <f>SUM(I5:I12)</f>
        <v>0</v>
      </c>
      <c r="J13" s="18">
        <f>SUM(J5:J12)</f>
        <v>2.7</v>
      </c>
      <c r="K13" s="18">
        <f>SUM(K5:K12)</f>
        <v>8.1000000000000016E-2</v>
      </c>
      <c r="L13" s="18">
        <f>SUM(L5:L12)</f>
        <v>27</v>
      </c>
      <c r="M13" s="56">
        <f>SUM(M5:M12)</f>
        <v>95.661000000000016</v>
      </c>
      <c r="N13" s="55"/>
      <c r="O13" s="23"/>
    </row>
    <row r="14" spans="1:15">
      <c r="A14" s="91" t="s">
        <v>83</v>
      </c>
      <c r="B14" s="92"/>
      <c r="C14" s="93"/>
      <c r="D14" s="20">
        <f>D13/8</f>
        <v>6.75</v>
      </c>
      <c r="E14" s="20">
        <f>E13/8</f>
        <v>0.67500000000000004</v>
      </c>
      <c r="F14" s="20">
        <f t="shared" ref="F14:M14" si="1">F13/8</f>
        <v>0.67500000000000004</v>
      </c>
      <c r="G14" s="20">
        <f t="shared" si="1"/>
        <v>0.13500000000000004</v>
      </c>
      <c r="H14" s="20">
        <f t="shared" si="1"/>
        <v>0</v>
      </c>
      <c r="I14" s="20">
        <f t="shared" si="1"/>
        <v>0</v>
      </c>
      <c r="J14" s="20">
        <f t="shared" si="1"/>
        <v>0.33750000000000002</v>
      </c>
      <c r="K14" s="20">
        <f t="shared" si="1"/>
        <v>1.0125000000000002E-2</v>
      </c>
      <c r="L14" s="20">
        <f t="shared" si="1"/>
        <v>3.375</v>
      </c>
      <c r="M14" s="45">
        <f t="shared" si="1"/>
        <v>11.957625000000002</v>
      </c>
      <c r="N14" s="55"/>
    </row>
    <row r="15" spans="1:15" ht="15" thickBot="1">
      <c r="A15" s="94" t="s">
        <v>84</v>
      </c>
      <c r="B15" s="95"/>
      <c r="C15" s="96"/>
      <c r="D15" s="59">
        <f>D14/20</f>
        <v>0.33750000000000002</v>
      </c>
      <c r="E15" s="59">
        <f>E14/20</f>
        <v>3.3750000000000002E-2</v>
      </c>
      <c r="F15" s="59">
        <f t="shared" ref="F15:M15" si="2">F14/20</f>
        <v>3.3750000000000002E-2</v>
      </c>
      <c r="G15" s="59">
        <f t="shared" si="2"/>
        <v>6.7500000000000017E-3</v>
      </c>
      <c r="H15" s="59">
        <f t="shared" si="2"/>
        <v>0</v>
      </c>
      <c r="I15" s="59">
        <f t="shared" si="2"/>
        <v>0</v>
      </c>
      <c r="J15" s="59">
        <f t="shared" si="2"/>
        <v>1.6875000000000001E-2</v>
      </c>
      <c r="K15" s="59">
        <f t="shared" si="2"/>
        <v>5.0625000000000008E-4</v>
      </c>
      <c r="L15" s="59">
        <f t="shared" si="2"/>
        <v>0.16875000000000001</v>
      </c>
      <c r="M15" s="60">
        <f t="shared" si="2"/>
        <v>0.59788125000000014</v>
      </c>
      <c r="N15" s="55"/>
    </row>
    <row r="16" spans="1:15">
      <c r="A16" s="88" t="s">
        <v>85</v>
      </c>
      <c r="B16" s="89"/>
      <c r="C16" s="90"/>
      <c r="D16" s="18">
        <f>D13/B24</f>
        <v>18</v>
      </c>
      <c r="E16" s="18">
        <f>E13/B23</f>
        <v>5.4</v>
      </c>
      <c r="F16" s="18">
        <f>F13/B24</f>
        <v>1.8</v>
      </c>
      <c r="G16" s="18">
        <f>G13/B23</f>
        <v>1.0800000000000003</v>
      </c>
      <c r="H16" s="18">
        <f>H13/B24</f>
        <v>0</v>
      </c>
      <c r="I16" s="18">
        <f>I13/B23</f>
        <v>0</v>
      </c>
      <c r="J16" s="18">
        <f>J13/B24</f>
        <v>0.9</v>
      </c>
      <c r="K16" s="18">
        <f>K13/B23</f>
        <v>8.1000000000000016E-2</v>
      </c>
      <c r="L16" s="18">
        <f>L13/B24</f>
        <v>9</v>
      </c>
      <c r="M16" s="25">
        <f>SUM(D16:L16)</f>
        <v>36.260999999999996</v>
      </c>
      <c r="N16" s="55"/>
    </row>
    <row r="17" spans="1:15">
      <c r="A17" s="91" t="s">
        <v>86</v>
      </c>
      <c r="B17" s="92"/>
      <c r="C17" s="93"/>
      <c r="D17" s="20">
        <f>D16/8</f>
        <v>2.25</v>
      </c>
      <c r="E17" s="20">
        <f t="shared" ref="E17" si="3">E16/8</f>
        <v>0.67500000000000004</v>
      </c>
      <c r="F17" s="20">
        <f t="shared" ref="F17" si="4">F16/8</f>
        <v>0.22500000000000001</v>
      </c>
      <c r="G17" s="20">
        <f t="shared" ref="G17" si="5">G16/8</f>
        <v>0.13500000000000004</v>
      </c>
      <c r="H17" s="20">
        <f t="shared" ref="H17" si="6">H16/8</f>
        <v>0</v>
      </c>
      <c r="I17" s="20">
        <f t="shared" ref="I17" si="7">I16/8</f>
        <v>0</v>
      </c>
      <c r="J17" s="20">
        <f t="shared" ref="J17" si="8">J16/8</f>
        <v>0.1125</v>
      </c>
      <c r="K17" s="20">
        <f t="shared" ref="K17" si="9">K16/8</f>
        <v>1.0125000000000002E-2</v>
      </c>
      <c r="L17" s="20">
        <f t="shared" ref="L17" si="10">L16/8</f>
        <v>1.125</v>
      </c>
      <c r="M17" s="57">
        <f>M16/8</f>
        <v>4.5326249999999995</v>
      </c>
      <c r="N17" s="55"/>
      <c r="O17" s="23"/>
    </row>
    <row r="18" spans="1:15" ht="15" thickBot="1">
      <c r="A18" s="94" t="s">
        <v>87</v>
      </c>
      <c r="B18" s="95"/>
      <c r="C18" s="96"/>
      <c r="D18" s="21">
        <f>D17/20</f>
        <v>0.1125</v>
      </c>
      <c r="E18" s="21">
        <f>E17/20</f>
        <v>3.3750000000000002E-2</v>
      </c>
      <c r="F18" s="21">
        <f t="shared" ref="F18:L18" si="11">F17/20</f>
        <v>1.125E-2</v>
      </c>
      <c r="G18" s="21">
        <f t="shared" si="11"/>
        <v>6.7500000000000017E-3</v>
      </c>
      <c r="H18" s="21">
        <f t="shared" si="11"/>
        <v>0</v>
      </c>
      <c r="I18" s="21">
        <f t="shared" si="11"/>
        <v>0</v>
      </c>
      <c r="J18" s="21">
        <f t="shared" si="11"/>
        <v>5.6249999999999998E-3</v>
      </c>
      <c r="K18" s="21">
        <f t="shared" si="11"/>
        <v>5.0625000000000008E-4</v>
      </c>
      <c r="L18" s="21">
        <f t="shared" si="11"/>
        <v>5.6250000000000001E-2</v>
      </c>
      <c r="M18" s="58">
        <f>M17/20</f>
        <v>0.22663124999999998</v>
      </c>
      <c r="N18" s="55"/>
      <c r="O18" s="23"/>
    </row>
    <row r="21" spans="1:15">
      <c r="C21" s="66"/>
      <c r="D21" s="23"/>
      <c r="E21" s="23"/>
    </row>
    <row r="22" spans="1:15">
      <c r="C22" s="66"/>
      <c r="D22" s="23" t="s">
        <v>88</v>
      </c>
      <c r="E22" s="23" t="s">
        <v>89</v>
      </c>
    </row>
    <row r="23" spans="1:15">
      <c r="A23" s="24" t="s">
        <v>90</v>
      </c>
      <c r="B23" s="24">
        <v>1</v>
      </c>
      <c r="C23" s="15"/>
      <c r="D23" s="61">
        <f>E16+F16+G16+K16</f>
        <v>8.3610000000000007</v>
      </c>
      <c r="E23" s="61">
        <f>D23/8</f>
        <v>1.0451250000000001</v>
      </c>
    </row>
    <row r="24" spans="1:15">
      <c r="A24" s="24" t="s">
        <v>91</v>
      </c>
      <c r="B24" s="24">
        <v>3</v>
      </c>
      <c r="C24" s="15"/>
      <c r="D24" s="61">
        <f>D16+J16+L16+(8*3)</f>
        <v>51.9</v>
      </c>
      <c r="E24" s="61">
        <f>D24/8</f>
        <v>6.4874999999999998</v>
      </c>
    </row>
    <row r="25" spans="1:15">
      <c r="D25" s="71">
        <f>SUM(D23:D24)</f>
        <v>60.260999999999996</v>
      </c>
    </row>
  </sheetData>
  <mergeCells count="9">
    <mergeCell ref="H3:I3"/>
    <mergeCell ref="J3:L3"/>
    <mergeCell ref="F3:G3"/>
    <mergeCell ref="A16:C16"/>
    <mergeCell ref="A17:C17"/>
    <mergeCell ref="A18:C18"/>
    <mergeCell ref="A13:C13"/>
    <mergeCell ref="A14:C14"/>
    <mergeCell ref="A15:C15"/>
  </mergeCells>
  <dataValidations count="1">
    <dataValidation type="list" allowBlank="1" showInputMessage="1" showErrorMessage="1" sqref="C5:C12">
      <formula1>"難しい,簡単,普通"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zoomScale="90" zoomScaleNormal="90" workbookViewId="0">
      <selection activeCell="M20" sqref="M20"/>
    </sheetView>
  </sheetViews>
  <sheetFormatPr defaultColWidth="8.54296875" defaultRowHeight="14.5"/>
  <sheetData>
    <row r="1" spans="1:24" ht="15" thickBot="1"/>
    <row r="2" spans="1:24">
      <c r="A2" s="108" t="s">
        <v>92</v>
      </c>
      <c r="B2" s="109"/>
      <c r="C2" s="110"/>
      <c r="D2" s="114" t="s">
        <v>93</v>
      </c>
      <c r="E2" s="115"/>
      <c r="F2" s="115"/>
      <c r="G2" s="116"/>
      <c r="H2" s="117" t="s">
        <v>94</v>
      </c>
      <c r="I2" s="115"/>
      <c r="J2" s="115"/>
      <c r="K2" s="115"/>
      <c r="L2" s="118"/>
      <c r="M2" s="114" t="s">
        <v>95</v>
      </c>
      <c r="N2" s="115"/>
      <c r="O2" s="115"/>
      <c r="P2" s="116"/>
      <c r="Q2" s="99" t="s">
        <v>96</v>
      </c>
      <c r="R2" s="100"/>
      <c r="S2" s="100"/>
      <c r="T2" s="101"/>
      <c r="U2" s="99" t="s">
        <v>97</v>
      </c>
      <c r="V2" s="100"/>
      <c r="W2" s="100"/>
      <c r="X2" s="101"/>
    </row>
    <row r="3" spans="1:24" ht="15" thickBot="1">
      <c r="A3" s="111"/>
      <c r="B3" s="112"/>
      <c r="C3" s="113"/>
      <c r="D3" s="26" t="s">
        <v>98</v>
      </c>
      <c r="E3" s="76" t="s">
        <v>99</v>
      </c>
      <c r="F3" s="76" t="s">
        <v>100</v>
      </c>
      <c r="G3" s="27" t="s">
        <v>101</v>
      </c>
      <c r="H3" s="54" t="s">
        <v>98</v>
      </c>
      <c r="I3" s="76" t="s">
        <v>99</v>
      </c>
      <c r="J3" s="76" t="s">
        <v>100</v>
      </c>
      <c r="K3" s="76" t="s">
        <v>101</v>
      </c>
      <c r="L3" s="77" t="s">
        <v>102</v>
      </c>
      <c r="M3" s="26" t="s">
        <v>98</v>
      </c>
      <c r="N3" s="76" t="s">
        <v>99</v>
      </c>
      <c r="O3" s="76" t="s">
        <v>100</v>
      </c>
      <c r="P3" s="27" t="s">
        <v>101</v>
      </c>
      <c r="Q3" s="54" t="s">
        <v>98</v>
      </c>
      <c r="R3" s="76" t="s">
        <v>99</v>
      </c>
      <c r="S3" s="76" t="s">
        <v>100</v>
      </c>
      <c r="T3" s="77" t="s">
        <v>101</v>
      </c>
      <c r="U3" s="54" t="s">
        <v>98</v>
      </c>
      <c r="V3" s="76" t="s">
        <v>99</v>
      </c>
      <c r="W3" s="76" t="s">
        <v>100</v>
      </c>
      <c r="X3" s="77" t="s">
        <v>101</v>
      </c>
    </row>
    <row r="4" spans="1:24" ht="39.75" customHeight="1">
      <c r="A4" s="102" t="s">
        <v>103</v>
      </c>
      <c r="B4" s="103"/>
      <c r="C4" s="104"/>
      <c r="D4" s="28"/>
      <c r="E4" s="2"/>
      <c r="F4" s="2"/>
      <c r="G4" s="29"/>
      <c r="H4" s="30"/>
      <c r="I4" s="2"/>
      <c r="J4" s="2"/>
      <c r="K4" s="2"/>
      <c r="L4" s="31"/>
      <c r="M4" s="28"/>
      <c r="N4" s="2"/>
      <c r="O4" s="2"/>
      <c r="P4" s="29"/>
      <c r="Q4" s="30"/>
      <c r="R4" s="2"/>
      <c r="S4" s="2"/>
      <c r="T4" s="31"/>
      <c r="U4" s="30"/>
      <c r="V4" s="2"/>
      <c r="W4" s="2"/>
      <c r="X4" s="31"/>
    </row>
    <row r="5" spans="1:24" ht="38.5" customHeight="1">
      <c r="A5" s="105" t="s">
        <v>61</v>
      </c>
      <c r="B5" s="106"/>
      <c r="C5" s="107"/>
      <c r="D5" s="28"/>
      <c r="E5" s="2"/>
      <c r="F5" s="2"/>
      <c r="G5" s="29"/>
      <c r="H5" s="30"/>
      <c r="I5" s="2"/>
      <c r="J5" s="2"/>
      <c r="K5" s="2"/>
      <c r="L5" s="31"/>
      <c r="M5" s="28"/>
      <c r="N5" s="2"/>
      <c r="O5" s="2"/>
      <c r="P5" s="29"/>
      <c r="Q5" s="30"/>
      <c r="R5" s="2"/>
      <c r="S5" s="2"/>
      <c r="T5" s="31"/>
      <c r="U5" s="30"/>
      <c r="V5" s="2"/>
      <c r="W5" s="2"/>
      <c r="X5" s="31"/>
    </row>
    <row r="6" spans="1:24" ht="34.75" customHeight="1">
      <c r="A6" s="105" t="s">
        <v>104</v>
      </c>
      <c r="B6" s="106"/>
      <c r="C6" s="107"/>
      <c r="D6" s="28"/>
      <c r="E6" s="2"/>
      <c r="F6" s="2"/>
      <c r="G6" s="29"/>
      <c r="H6" s="30"/>
      <c r="I6" s="2"/>
      <c r="J6" s="2"/>
      <c r="K6" s="2"/>
      <c r="L6" s="31"/>
      <c r="M6" s="28"/>
      <c r="N6" s="2"/>
      <c r="O6" s="2"/>
      <c r="P6" s="29"/>
      <c r="Q6" s="30"/>
      <c r="R6" s="2"/>
      <c r="S6" s="2"/>
      <c r="T6" s="31"/>
      <c r="U6" s="30"/>
      <c r="V6" s="2"/>
      <c r="W6" s="2"/>
      <c r="X6" s="31"/>
    </row>
    <row r="7" spans="1:24" ht="34" customHeight="1">
      <c r="A7" s="105" t="s">
        <v>105</v>
      </c>
      <c r="B7" s="106"/>
      <c r="C7" s="107"/>
      <c r="D7" s="28"/>
      <c r="E7" s="2"/>
      <c r="F7" s="2"/>
      <c r="G7" s="29"/>
      <c r="H7" s="30"/>
      <c r="I7" s="2"/>
      <c r="J7" s="2"/>
      <c r="K7" s="2"/>
      <c r="L7" s="31"/>
      <c r="M7" s="28"/>
      <c r="N7" s="2"/>
      <c r="O7" s="2"/>
      <c r="P7" s="29"/>
      <c r="Q7" s="30"/>
      <c r="R7" s="2"/>
      <c r="S7" s="2"/>
      <c r="T7" s="31"/>
      <c r="U7" s="30"/>
      <c r="V7" s="2"/>
      <c r="W7" s="2"/>
      <c r="X7" s="31"/>
    </row>
    <row r="8" spans="1:24" ht="32.9" customHeight="1">
      <c r="A8" s="105" t="s">
        <v>106</v>
      </c>
      <c r="B8" s="106"/>
      <c r="C8" s="107"/>
      <c r="D8" s="28"/>
      <c r="E8" s="2"/>
      <c r="F8" s="2"/>
      <c r="G8" s="29"/>
      <c r="H8" s="30"/>
      <c r="I8" s="2"/>
      <c r="J8" s="2"/>
      <c r="K8" s="2"/>
      <c r="L8" s="31"/>
      <c r="M8" s="28"/>
      <c r="N8" s="2"/>
      <c r="O8" s="2"/>
      <c r="P8" s="29"/>
      <c r="Q8" s="30"/>
      <c r="R8" s="2"/>
      <c r="S8" s="2"/>
      <c r="T8" s="31"/>
      <c r="U8" s="30"/>
      <c r="V8" s="2"/>
      <c r="W8" s="2"/>
      <c r="X8" s="31"/>
    </row>
    <row r="9" spans="1:24" ht="34" customHeight="1">
      <c r="A9" s="105" t="s">
        <v>64</v>
      </c>
      <c r="B9" s="106"/>
      <c r="C9" s="107"/>
      <c r="D9" s="32"/>
      <c r="E9" s="33"/>
      <c r="F9" s="33"/>
      <c r="G9" s="34"/>
      <c r="H9" s="35"/>
      <c r="I9" s="33"/>
      <c r="J9" s="33"/>
      <c r="K9" s="33"/>
      <c r="L9" s="36"/>
      <c r="M9" s="32"/>
      <c r="N9" s="33"/>
      <c r="O9" s="33"/>
      <c r="P9" s="34"/>
      <c r="Q9" s="35"/>
      <c r="R9" s="33"/>
      <c r="S9" s="33"/>
      <c r="T9" s="36"/>
      <c r="U9" s="35"/>
      <c r="V9" s="33"/>
      <c r="W9" s="33"/>
      <c r="X9" s="36"/>
    </row>
    <row r="10" spans="1:24" ht="34" customHeight="1">
      <c r="A10" s="105" t="s">
        <v>65</v>
      </c>
      <c r="B10" s="106"/>
      <c r="C10" s="107"/>
      <c r="D10" s="28"/>
      <c r="E10" s="2"/>
      <c r="F10" s="2"/>
      <c r="G10" s="29"/>
      <c r="H10" s="30"/>
      <c r="I10" s="2"/>
      <c r="J10" s="2"/>
      <c r="K10" s="2"/>
      <c r="L10" s="31"/>
      <c r="M10" s="28"/>
      <c r="N10" s="2"/>
      <c r="O10" s="2"/>
      <c r="P10" s="29"/>
      <c r="Q10" s="30"/>
      <c r="R10" s="2"/>
      <c r="S10" s="2"/>
      <c r="T10" s="31"/>
      <c r="U10" s="30"/>
      <c r="V10" s="2"/>
      <c r="W10" s="2"/>
      <c r="X10" s="31"/>
    </row>
    <row r="11" spans="1:24" ht="34" customHeight="1">
      <c r="A11" s="105" t="s">
        <v>66</v>
      </c>
      <c r="B11" s="106"/>
      <c r="C11" s="107"/>
      <c r="D11" s="28"/>
      <c r="E11" s="2"/>
      <c r="F11" s="2"/>
      <c r="G11" s="29"/>
      <c r="H11" s="30"/>
      <c r="I11" s="2"/>
      <c r="J11" s="2"/>
      <c r="K11" s="2"/>
      <c r="L11" s="31"/>
      <c r="M11" s="28"/>
      <c r="N11" s="2"/>
      <c r="O11" s="2"/>
      <c r="P11" s="29"/>
      <c r="Q11" s="30"/>
      <c r="R11" s="2"/>
      <c r="S11" s="2"/>
      <c r="T11" s="31"/>
      <c r="U11" s="30"/>
      <c r="V11" s="2"/>
      <c r="W11" s="2"/>
      <c r="X11" s="31"/>
    </row>
    <row r="12" spans="1:24" ht="34" customHeight="1" thickBot="1">
      <c r="A12" s="119" t="s">
        <v>107</v>
      </c>
      <c r="B12" s="120"/>
      <c r="C12" s="121"/>
      <c r="D12" s="40"/>
      <c r="E12" s="38"/>
      <c r="F12" s="38"/>
      <c r="G12" s="39"/>
      <c r="H12" s="40"/>
      <c r="I12" s="38"/>
      <c r="J12" s="38"/>
      <c r="K12" s="38"/>
      <c r="L12" s="41"/>
      <c r="M12" s="37"/>
      <c r="N12" s="38"/>
      <c r="O12" s="38"/>
      <c r="P12" s="39"/>
      <c r="Q12" s="40"/>
      <c r="R12" s="38"/>
      <c r="S12" s="38"/>
      <c r="T12" s="41"/>
      <c r="U12" s="40"/>
      <c r="V12" s="38"/>
      <c r="W12" s="38"/>
      <c r="X12" s="41"/>
    </row>
  </sheetData>
  <mergeCells count="15">
    <mergeCell ref="A10:C10"/>
    <mergeCell ref="A12:C12"/>
    <mergeCell ref="A11:C11"/>
    <mergeCell ref="A6:C6"/>
    <mergeCell ref="A7:C7"/>
    <mergeCell ref="A8:C8"/>
    <mergeCell ref="A9:C9"/>
    <mergeCell ref="U2:X2"/>
    <mergeCell ref="Q2:T2"/>
    <mergeCell ref="A4:C4"/>
    <mergeCell ref="A5:C5"/>
    <mergeCell ref="A2:C3"/>
    <mergeCell ref="D2:G2"/>
    <mergeCell ref="H2:L2"/>
    <mergeCell ref="M2:P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8"/>
  <sheetViews>
    <sheetView workbookViewId="0">
      <selection activeCell="H29" sqref="H29"/>
    </sheetView>
  </sheetViews>
  <sheetFormatPr defaultRowHeight="14.5"/>
  <cols>
    <col min="2" max="3" width="8.81640625" customWidth="1"/>
    <col min="4" max="7" width="4.54296875" style="6" customWidth="1"/>
  </cols>
  <sheetData>
    <row r="1" spans="2:9">
      <c r="C1" s="42"/>
      <c r="D1" s="42"/>
      <c r="E1" s="42"/>
      <c r="F1" s="42"/>
      <c r="G1" s="42"/>
    </row>
    <row r="2" spans="2:9">
      <c r="C2" s="42"/>
      <c r="D2" s="42"/>
      <c r="E2" s="42"/>
      <c r="F2" s="42"/>
      <c r="G2" s="42"/>
    </row>
    <row r="3" spans="2:9">
      <c r="B3" s="67" t="s">
        <v>108</v>
      </c>
    </row>
    <row r="4" spans="2:9">
      <c r="B4" s="124" t="s">
        <v>109</v>
      </c>
      <c r="C4" s="124"/>
      <c r="D4" s="127">
        <v>2023</v>
      </c>
      <c r="E4" s="128"/>
      <c r="F4" s="128"/>
      <c r="G4" s="79"/>
      <c r="H4" s="124" t="s">
        <v>110</v>
      </c>
    </row>
    <row r="5" spans="2:9">
      <c r="B5" s="124"/>
      <c r="C5" s="124"/>
      <c r="D5" s="78">
        <v>10</v>
      </c>
      <c r="E5" s="78">
        <v>11</v>
      </c>
      <c r="F5" s="78">
        <v>12</v>
      </c>
      <c r="G5" s="78">
        <v>1</v>
      </c>
      <c r="H5" s="124"/>
    </row>
    <row r="6" spans="2:9" ht="18.649999999999999" customHeight="1">
      <c r="B6" s="106" t="s">
        <v>111</v>
      </c>
      <c r="C6" s="106"/>
      <c r="D6" s="46">
        <v>1</v>
      </c>
      <c r="E6" s="46">
        <v>1</v>
      </c>
      <c r="F6" s="46">
        <v>1</v>
      </c>
      <c r="G6" s="46">
        <v>0.1</v>
      </c>
      <c r="H6" s="62">
        <f>SUM(D6:G6)</f>
        <v>3.1</v>
      </c>
    </row>
    <row r="7" spans="2:9" ht="24.25" customHeight="1">
      <c r="B7" s="123" t="s">
        <v>112</v>
      </c>
      <c r="C7" s="106"/>
      <c r="D7" s="46">
        <v>0.6</v>
      </c>
      <c r="E7" s="46">
        <v>1</v>
      </c>
      <c r="F7" s="46">
        <v>1</v>
      </c>
      <c r="G7" s="46">
        <v>0.7</v>
      </c>
      <c r="H7" s="62">
        <f t="shared" ref="H7:H10" si="0">SUM(D7:G7)</f>
        <v>3.3</v>
      </c>
    </row>
    <row r="8" spans="2:9" s="43" customFormat="1" ht="27.65" customHeight="1">
      <c r="B8" s="125" t="s">
        <v>113</v>
      </c>
      <c r="C8" s="126"/>
      <c r="D8" s="46">
        <v>0.6</v>
      </c>
      <c r="E8" s="46">
        <v>1</v>
      </c>
      <c r="F8" s="46">
        <v>1</v>
      </c>
      <c r="G8" s="46">
        <v>0.7</v>
      </c>
      <c r="H8" s="63">
        <f t="shared" si="0"/>
        <v>3.3</v>
      </c>
    </row>
    <row r="9" spans="2:9" ht="29.5" customHeight="1">
      <c r="B9" s="123" t="s">
        <v>114</v>
      </c>
      <c r="C9" s="106"/>
      <c r="D9" s="46">
        <v>0.6</v>
      </c>
      <c r="E9" s="46">
        <v>1</v>
      </c>
      <c r="F9" s="46">
        <v>1</v>
      </c>
      <c r="G9" s="46">
        <v>0.7</v>
      </c>
      <c r="H9" s="62">
        <f t="shared" si="0"/>
        <v>3.3</v>
      </c>
    </row>
    <row r="10" spans="2:9" ht="28.4" customHeight="1">
      <c r="B10" s="123" t="s">
        <v>115</v>
      </c>
      <c r="C10" s="106"/>
      <c r="D10" s="46">
        <v>0</v>
      </c>
      <c r="E10" s="46">
        <v>0.4</v>
      </c>
      <c r="F10" s="46">
        <v>0</v>
      </c>
      <c r="G10" s="46">
        <v>0</v>
      </c>
      <c r="H10" s="62">
        <f t="shared" si="0"/>
        <v>0.4</v>
      </c>
    </row>
    <row r="11" spans="2:9" ht="30" customHeight="1">
      <c r="B11" s="123" t="s">
        <v>116</v>
      </c>
      <c r="C11" s="106"/>
      <c r="D11" s="46">
        <v>0.5</v>
      </c>
      <c r="E11" s="46">
        <v>0</v>
      </c>
      <c r="F11" s="46">
        <v>0</v>
      </c>
      <c r="G11" s="46">
        <v>0</v>
      </c>
      <c r="H11" s="62">
        <f>SUM(D11:G11)</f>
        <v>0.5</v>
      </c>
    </row>
    <row r="12" spans="2:9">
      <c r="B12" s="122" t="s">
        <v>117</v>
      </c>
      <c r="C12" s="122"/>
      <c r="D12" s="64">
        <f>SUM(D6:D11)</f>
        <v>3.3000000000000003</v>
      </c>
      <c r="E12" s="64">
        <f>SUM(E6:E11)</f>
        <v>4.4000000000000004</v>
      </c>
      <c r="F12" s="64">
        <f>SUM(F6:F11)</f>
        <v>4</v>
      </c>
      <c r="G12" s="64">
        <f>SUM(G6:G11)</f>
        <v>2.2000000000000002</v>
      </c>
      <c r="H12" s="44">
        <f>SUM(D12:G12)</f>
        <v>13.900000000000002</v>
      </c>
    </row>
    <row r="14" spans="2:9">
      <c r="I14" s="72"/>
    </row>
    <row r="22" spans="2:9">
      <c r="G22" s="19"/>
    </row>
    <row r="23" spans="2:9">
      <c r="G23" s="19"/>
    </row>
    <row r="24" spans="2:9" ht="28.4" customHeight="1">
      <c r="G24" s="19"/>
    </row>
    <row r="25" spans="2:9" ht="32.25" customHeight="1">
      <c r="G25" s="19"/>
    </row>
    <row r="26" spans="2:9" ht="29.5" customHeight="1">
      <c r="G26" s="19"/>
    </row>
    <row r="27" spans="2:9" ht="28.75" customHeight="1">
      <c r="G27" s="19"/>
    </row>
    <row r="28" spans="2:9" s="6" customFormat="1" ht="28.75" customHeight="1">
      <c r="B28"/>
      <c r="C28"/>
      <c r="G28" s="19"/>
      <c r="H28"/>
      <c r="I28"/>
    </row>
    <row r="29" spans="2:9" s="6" customFormat="1" ht="34.75" customHeight="1">
      <c r="B29"/>
      <c r="C29"/>
      <c r="G29" s="19"/>
      <c r="H29"/>
      <c r="I29"/>
    </row>
    <row r="30" spans="2:9" s="6" customFormat="1" ht="35.15" customHeight="1">
      <c r="B30"/>
      <c r="C30"/>
      <c r="G30" s="19"/>
      <c r="H30"/>
      <c r="I30"/>
    </row>
    <row r="31" spans="2:9" s="6" customFormat="1" ht="34" customHeight="1">
      <c r="B31"/>
      <c r="C31"/>
      <c r="G31" s="19"/>
      <c r="H31"/>
      <c r="I31"/>
    </row>
    <row r="32" spans="2:9" s="6" customFormat="1" ht="26.5" customHeight="1">
      <c r="B32"/>
      <c r="C32"/>
      <c r="G32" s="19"/>
      <c r="H32"/>
      <c r="I32"/>
    </row>
    <row r="33" spans="2:9" s="6" customFormat="1" ht="31" customHeight="1">
      <c r="B33"/>
      <c r="C33"/>
      <c r="G33" s="19"/>
      <c r="H33"/>
      <c r="I33"/>
    </row>
    <row r="34" spans="2:9" s="6" customFormat="1" ht="28.4" customHeight="1">
      <c r="B34"/>
      <c r="C34"/>
      <c r="G34" s="19"/>
      <c r="H34"/>
      <c r="I34"/>
    </row>
    <row r="35" spans="2:9" s="6" customFormat="1" ht="28.75" customHeight="1">
      <c r="B35"/>
      <c r="C35"/>
      <c r="G35" s="19"/>
      <c r="H35"/>
      <c r="I35"/>
    </row>
    <row r="36" spans="2:9" s="6" customFormat="1">
      <c r="B36"/>
      <c r="C36"/>
      <c r="G36" s="19"/>
      <c r="H36"/>
      <c r="I36"/>
    </row>
    <row r="37" spans="2:9" s="6" customFormat="1">
      <c r="B37"/>
      <c r="C37"/>
      <c r="D37" s="19"/>
      <c r="E37" s="19"/>
      <c r="F37" s="19"/>
      <c r="G37" s="19"/>
      <c r="H37"/>
      <c r="I37"/>
    </row>
    <row r="38" spans="2:9" s="6" customFormat="1">
      <c r="B38"/>
      <c r="C38"/>
      <c r="D38" s="19"/>
      <c r="E38" s="19"/>
      <c r="F38" s="19"/>
      <c r="G38" s="19"/>
      <c r="H38"/>
      <c r="I38"/>
    </row>
  </sheetData>
  <mergeCells count="10">
    <mergeCell ref="B12:C12"/>
    <mergeCell ref="B10:C10"/>
    <mergeCell ref="B11:C11"/>
    <mergeCell ref="B9:C9"/>
    <mergeCell ref="H4:H5"/>
    <mergeCell ref="B7:C7"/>
    <mergeCell ref="B8:C8"/>
    <mergeCell ref="B6:C6"/>
    <mergeCell ref="B4:C5"/>
    <mergeCell ref="D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全体工数(Overall Estimate)</vt:lpstr>
      <vt:lpstr>Web_Function List</vt:lpstr>
      <vt:lpstr>Web_Manhour_Detail</vt:lpstr>
      <vt:lpstr>Milestone</vt:lpstr>
      <vt:lpstr>人の山積(Team Structure)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BCMM</dc:creator>
  <cp:keywords/>
  <dc:description/>
  <cp:lastModifiedBy>Eternal Nane</cp:lastModifiedBy>
  <cp:revision/>
  <dcterms:created xsi:type="dcterms:W3CDTF">2023-06-08T02:06:00Z</dcterms:created>
  <dcterms:modified xsi:type="dcterms:W3CDTF">2026-05-15T15:16:56Z</dcterms:modified>
  <cp:category/>
  <cp:contentStatus/>
</cp:coreProperties>
</file>